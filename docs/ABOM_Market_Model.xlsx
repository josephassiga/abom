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umptions" sheetId="2" state="visible" r:id="rId2"/>
    <sheet xmlns:r="http://schemas.openxmlformats.org/officeDocument/2006/relationships" name="Market Sizing" sheetId="3" state="visible" r:id="rId3"/>
    <sheet xmlns:r="http://schemas.openxmlformats.org/officeDocument/2006/relationships" name="Revenue Build" sheetId="4" state="visible" r:id="rId4"/>
  </sheets>
  <definedNames/>
  <calcPr calcId="124519" fullCalcOnLoad="1"/>
</workbook>
</file>

<file path=xl/styles.xml><?xml version="1.0" encoding="utf-8"?>
<styleSheet xmlns="http://schemas.openxmlformats.org/spreadsheetml/2006/main">
  <numFmts count="5">
    <numFmt numFmtId="164" formatCode="€#,##0.0;(€#,##0.0);&quot;-&quot;"/>
    <numFmt numFmtId="165" formatCode="#,##0;(#,##0);&quot;-&quot;"/>
    <numFmt numFmtId="166" formatCode="0.0%"/>
    <numFmt numFmtId="167" formatCode="0.0&quot;x&quot;"/>
    <numFmt numFmtId="168" formatCode="€#,##0;(€#,##0);&quot;-&quot;"/>
  </numFmts>
  <fonts count="13">
    <font>
      <name val="Calibri"/>
      <family val="2"/>
      <color theme="1"/>
      <sz val="11"/>
      <scheme val="minor"/>
    </font>
    <font>
      <name val="Arial"/>
      <b val="1"/>
      <color rgb="001F3864"/>
      <sz val="16"/>
    </font>
    <font>
      <name val="Arial"/>
      <i val="1"/>
      <color rgb="00595959"/>
      <sz val="10"/>
    </font>
    <font>
      <name val="Arial"/>
      <b val="1"/>
      <color rgb="00FFFFFF"/>
      <sz val="9"/>
    </font>
    <font>
      <name val="Arial"/>
      <b val="1"/>
      <color rgb="001F3864"/>
      <sz val="20"/>
    </font>
    <font>
      <name val="Arial"/>
      <b val="1"/>
      <color rgb="001F3864"/>
      <sz val="12"/>
    </font>
    <font>
      <name val="Arial"/>
      <color rgb="00000000"/>
      <sz val="10"/>
    </font>
    <font>
      <name val="Arial"/>
      <color rgb="00008000"/>
      <sz val="10"/>
    </font>
    <font>
      <name val="Arial"/>
      <i val="1"/>
      <color rgb="00808080"/>
      <sz val="8"/>
    </font>
    <font>
      <name val="Arial"/>
      <b val="1"/>
      <color rgb="00FFFFFF"/>
      <sz val="10"/>
    </font>
    <font>
      <name val="Arial"/>
      <color rgb="000000FF"/>
      <sz val="10"/>
    </font>
    <font>
      <name val="Arial"/>
      <b val="1"/>
      <color rgb="00000000"/>
      <sz val="10"/>
    </font>
    <font>
      <name val="Arial"/>
      <b val="1"/>
      <color rgb="00FFFFFF"/>
    </font>
  </fonts>
  <fills count="7">
    <fill>
      <patternFill/>
    </fill>
    <fill>
      <patternFill patternType="gray125"/>
    </fill>
    <fill>
      <patternFill patternType="solid">
        <fgColor rgb="001F3864"/>
      </patternFill>
    </fill>
    <fill>
      <patternFill patternType="solid">
        <fgColor rgb="00D9E2F3"/>
      </patternFill>
    </fill>
    <fill>
      <patternFill patternType="solid">
        <fgColor rgb="002E5496"/>
      </patternFill>
    </fill>
    <fill>
      <patternFill patternType="solid">
        <fgColor rgb="00FFF2CC"/>
      </patternFill>
    </fill>
    <fill>
      <patternFill patternType="solid">
        <fgColor rgb="00F2F5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wrapText="1"/>
    </xf>
    <xf numFmtId="164" fontId="4" fillId="0" borderId="0" applyAlignment="1" pivotButton="0" quotePrefix="0" xfId="0">
      <alignment horizontal="left" vertical="center"/>
    </xf>
    <xf numFmtId="0" fontId="5" fillId="3" borderId="0" pivotButton="0" quotePrefix="0" xfId="0"/>
    <xf numFmtId="0" fontId="0" fillId="3" borderId="0" pivotButton="0" quotePrefix="0" xfId="0"/>
    <xf numFmtId="0" fontId="6" fillId="0" borderId="0" pivotButton="0" quotePrefix="0" xfId="0"/>
    <xf numFmtId="164" fontId="7" fillId="0" borderId="0" pivotButton="0" quotePrefix="0" xfId="0"/>
    <xf numFmtId="165" fontId="7" fillId="0" borderId="0" pivotButton="0" quotePrefix="0" xfId="0"/>
    <xf numFmtId="166" fontId="7" fillId="0" borderId="0" pivotButton="0" quotePrefix="0" xfId="0"/>
    <xf numFmtId="0" fontId="8" fillId="0" borderId="0" pivotButton="0" quotePrefix="0" xfId="0"/>
    <xf numFmtId="0" fontId="9" fillId="4" borderId="1" applyAlignment="1" pivotButton="0" quotePrefix="0" xfId="0">
      <alignment horizontal="center" vertical="center" wrapText="1"/>
    </xf>
    <xf numFmtId="0" fontId="6" fillId="0" borderId="1" pivotButton="0" quotePrefix="0" xfId="0"/>
    <xf numFmtId="167" fontId="10" fillId="0" borderId="1" pivotButton="0" quotePrefix="0" xfId="0"/>
    <xf numFmtId="164" fontId="6" fillId="0" borderId="1" pivotButton="0" quotePrefix="0" xfId="0"/>
    <xf numFmtId="0" fontId="6" fillId="5" borderId="1" pivotButton="0" quotePrefix="0" xfId="0"/>
    <xf numFmtId="167" fontId="10" fillId="5" borderId="1" pivotButton="0" quotePrefix="0" xfId="0"/>
    <xf numFmtId="164" fontId="6" fillId="5" borderId="1" pivotButton="0" quotePrefix="0" xfId="0"/>
    <xf numFmtId="0" fontId="8" fillId="0" borderId="0" applyAlignment="1" pivotButton="0" quotePrefix="0" xfId="0">
      <alignment vertical="top" wrapText="1"/>
    </xf>
    <xf numFmtId="165" fontId="10" fillId="0" borderId="1" pivotButton="0" quotePrefix="0" xfId="0"/>
    <xf numFmtId="166" fontId="10" fillId="0" borderId="1" pivotButton="0" quotePrefix="0" xfId="0"/>
    <xf numFmtId="165" fontId="6" fillId="0" borderId="1" pivotButton="0" quotePrefix="0" xfId="0"/>
    <xf numFmtId="168" fontId="10" fillId="0" borderId="1" pivotButton="0" quotePrefix="0" xfId="0"/>
    <xf numFmtId="168" fontId="6" fillId="0" borderId="1" pivotButton="0" quotePrefix="0" xfId="0"/>
    <xf numFmtId="0" fontId="6" fillId="6" borderId="1" pivotButton="0" quotePrefix="0" xfId="0"/>
    <xf numFmtId="165" fontId="10" fillId="6" borderId="1" pivotButton="0" quotePrefix="0" xfId="0"/>
    <xf numFmtId="166" fontId="10" fillId="6" borderId="1" pivotButton="0" quotePrefix="0" xfId="0"/>
    <xf numFmtId="165" fontId="6" fillId="6" borderId="1" pivotButton="0" quotePrefix="0" xfId="0"/>
    <xf numFmtId="168" fontId="10" fillId="6" borderId="1" pivotButton="0" quotePrefix="0" xfId="0"/>
    <xf numFmtId="168" fontId="6" fillId="6" borderId="1" pivotButton="0" quotePrefix="0" xfId="0"/>
    <xf numFmtId="0" fontId="11" fillId="0" borderId="1" pivotButton="0" quotePrefix="0" xfId="0"/>
    <xf numFmtId="0" fontId="0" fillId="0" borderId="1" pivotButton="0" quotePrefix="0" xfId="0"/>
    <xf numFmtId="165" fontId="11" fillId="0" borderId="1" pivotButton="0" quotePrefix="0" xfId="0"/>
    <xf numFmtId="168" fontId="11" fillId="0" borderId="1" pivotButton="0" quotePrefix="0" xfId="0"/>
    <xf numFmtId="0" fontId="9" fillId="2" borderId="1" pivotButton="0" quotePrefix="0" xfId="0"/>
    <xf numFmtId="0" fontId="0" fillId="2" borderId="1" pivotButton="0" quotePrefix="0" xfId="0"/>
    <xf numFmtId="165" fontId="12" fillId="2" borderId="1" pivotButton="0" quotePrefix="0" xfId="0"/>
    <xf numFmtId="168" fontId="12" fillId="2" borderId="1" pivotButton="0" quotePrefix="0" xfId="0"/>
    <xf numFmtId="166" fontId="10" fillId="0" borderId="0" pivotButton="0" quotePrefix="0" xfId="0"/>
    <xf numFmtId="164" fontId="10" fillId="0" borderId="0" pivotButton="0" quotePrefix="0" xfId="0"/>
    <xf numFmtId="164" fontId="6" fillId="0" borderId="0" pivotButton="0" quotePrefix="0" xfId="0"/>
    <xf numFmtId="0" fontId="11" fillId="0" borderId="0" pivotButton="0" quotePrefix="0" xfId="0"/>
    <xf numFmtId="164" fontId="11" fillId="0" borderId="0" pivotButton="0" quotePrefix="0" xfId="0"/>
    <xf numFmtId="166" fontId="6" fillId="0" borderId="0" pivotButton="0" quotePrefix="0" xfId="0"/>
    <xf numFmtId="0" fontId="11" fillId="6" borderId="1" pivotButton="0" quotePrefix="0" xfId="0"/>
    <xf numFmtId="168" fontId="11" fillId="6" borderId="1" pivotButton="0" quotePrefix="0" xfId="0"/>
    <xf numFmtId="164"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showGridLines="0" workbookViewId="0">
      <selection activeCell="A1" sqref="A1"/>
    </sheetView>
  </sheetViews>
  <sheetFormatPr baseColWidth="8" defaultRowHeight="15"/>
  <cols>
    <col width="22" customWidth="1" min="1" max="1"/>
    <col width="13" customWidth="1" min="2" max="2"/>
    <col width="13" customWidth="1" min="3" max="3"/>
    <col width="22" customWidth="1" min="4" max="4"/>
    <col width="13" customWidth="1" min="5" max="5"/>
    <col width="13" customWidth="1" min="6" max="6"/>
    <col width="22" customWidth="1" min="7" max="7"/>
    <col width="13" customWidth="1" min="8" max="8"/>
    <col width="13" customWidth="1" min="9" max="9"/>
  </cols>
  <sheetData>
    <row r="1">
      <c r="A1" s="1" t="inlineStr">
        <is>
          <t>ABOM — Agent Bill of Materials · bottom-up market model</t>
        </is>
      </c>
    </row>
    <row r="2">
      <c r="A2" s="2" t="inlineStr">
        <is>
          <t>Agent-accountability / governance tooling for agentic AI · European regulated enterprises · all figures EUR</t>
        </is>
      </c>
    </row>
    <row r="4" ht="42" customHeight="1">
      <c r="A4" s="3" t="inlineStr">
        <is>
          <t>TAM — EU regulated agent-accountability layer (top-down)</t>
        </is>
      </c>
      <c r="D4" s="3" t="inlineStr">
        <is>
          <t>SAM — bottom-up (serviceable, annual)</t>
        </is>
      </c>
      <c r="G4" s="3" t="inlineStr">
        <is>
          <t>SOM — Year-5 achievable ARR (base)</t>
        </is>
      </c>
    </row>
    <row r="5" ht="30" customHeight="1">
      <c r="A5" s="4">
        <f>'Market Sizing'!B11</f>
        <v/>
      </c>
      <c r="D5" s="4">
        <f>'Market Sizing'!B14</f>
        <v/>
      </c>
      <c r="G5" s="4">
        <f>'Market Sizing'!B15</f>
        <v/>
      </c>
    </row>
    <row r="8">
      <c r="A8" s="5" t="inlineStr">
        <is>
          <t>Key outputs</t>
        </is>
      </c>
      <c r="B8" s="6" t="n"/>
      <c r="C8" s="6" t="n"/>
      <c r="D8" s="6" t="n"/>
      <c r="E8" s="6" t="n"/>
      <c r="F8" s="6" t="n"/>
      <c r="G8" s="6" t="n"/>
      <c r="H8" s="6" t="n"/>
      <c r="I8" s="6" t="n"/>
    </row>
    <row r="9">
      <c r="A9" s="7" t="inlineStr">
        <is>
          <t>Year-5 ABOM platform ARR (verify + Notary)</t>
        </is>
      </c>
      <c r="D9" s="8">
        <f>'Revenue Build'!G12/1000</f>
        <v/>
      </c>
    </row>
    <row r="10">
      <c r="A10" s="7" t="inlineStr">
        <is>
          <t>Year-5 services revenue</t>
        </is>
      </c>
      <c r="D10" s="8">
        <f>'Revenue Build'!G13/1000</f>
        <v/>
      </c>
    </row>
    <row r="11">
      <c r="A11" s="7" t="inlineStr">
        <is>
          <t>Year-5 total revenue</t>
        </is>
      </c>
      <c r="D11" s="8">
        <f>'Revenue Build'!G14/1000</f>
        <v/>
      </c>
    </row>
    <row r="12">
      <c r="A12" s="7" t="inlineStr">
        <is>
          <t>Year-5 cumulative customers (logos)</t>
        </is>
      </c>
      <c r="D12" s="9">
        <f>'Revenue Build'!G16</f>
        <v/>
      </c>
    </row>
    <row r="13">
      <c r="A13" s="7" t="inlineStr">
        <is>
          <t>Year-5 logo penetration of serviceable market</t>
        </is>
      </c>
      <c r="D13" s="10">
        <f>'Revenue Build'!G17</f>
        <v/>
      </c>
    </row>
    <row r="14">
      <c r="A14" s="7" t="inlineStr">
        <is>
          <t>SOM as % of SAM (Year 5)</t>
        </is>
      </c>
      <c r="D14" s="10">
        <f>'Market Sizing'!B16</f>
        <v/>
      </c>
    </row>
    <row r="17">
      <c r="A17" s="5" t="inlineStr">
        <is>
          <t>Scenario sensitivity — Year-5 ABOM platform ARR (€M)</t>
        </is>
      </c>
      <c r="B17" s="6" t="n"/>
      <c r="C17" s="6" t="n"/>
      <c r="D17" s="6" t="n"/>
      <c r="E17" s="6" t="n"/>
      <c r="F17" s="6" t="n"/>
      <c r="G17" s="6" t="n"/>
      <c r="H17" s="6" t="n"/>
      <c r="I17" s="6" t="n"/>
    </row>
    <row r="18">
      <c r="A18" s="11" t="inlineStr">
        <is>
          <t>Driver: logo-ramp multiplier applied to base-case customer counts (ABOM ACV held constant).</t>
        </is>
      </c>
    </row>
    <row r="19">
      <c r="A19" s="12" t="inlineStr">
        <is>
          <t>Scenario</t>
        </is>
      </c>
      <c r="B19" s="12" t="inlineStr">
        <is>
          <t>Logo multiplier</t>
        </is>
      </c>
      <c r="C19" s="12" t="inlineStr">
        <is>
          <t>Year-5 ARR (€M)</t>
        </is>
      </c>
    </row>
    <row r="20">
      <c r="A20" s="13" t="inlineStr">
        <is>
          <t>Conservative</t>
        </is>
      </c>
      <c r="B20" s="14" t="n">
        <v>0.6</v>
      </c>
      <c r="C20" s="15">
        <f>'Revenue Build'!$G$12/1000*B20</f>
        <v/>
      </c>
    </row>
    <row r="21">
      <c r="A21" s="16" t="inlineStr">
        <is>
          <t>Base</t>
        </is>
      </c>
      <c r="B21" s="17" t="n">
        <v>1</v>
      </c>
      <c r="C21" s="18">
        <f>'Revenue Build'!$G$12/1000*B21</f>
        <v/>
      </c>
    </row>
    <row r="22">
      <c r="A22" s="13" t="inlineStr">
        <is>
          <t>Aggressive</t>
        </is>
      </c>
      <c r="B22" s="14" t="n">
        <v>1.4</v>
      </c>
      <c r="C22" s="15">
        <f>'Revenue Build'!$G$12/1000*B22</f>
        <v/>
      </c>
    </row>
    <row r="25">
      <c r="A25" s="19" t="inlineStr">
        <is>
          <t>Note: The headline analyst TAM for agentic AI (~$24.5B–$139B by the early 2030s) measures the whole market — mostly US, mostly SaaS, mostly the model and agent-framework layers ABOM deliberately does not sell. This model sizes only what ABOM can actually sell: the agent-accountability / governance tooling layer (generate, verify, and notarize a signed bill of materials for every agent) for European regulated buyers. That layer rides the SBOM-mandate precedent — EO 14028 and the EU Cyber Resilience Act made software bills of materials mandatory, and EU AI Act Art. 12, DORA, and NIST AI RMF point the same way for agents. Blue = input you can change; black = formula; green = pulled from another sheet.</t>
        </is>
      </c>
    </row>
    <row r="26"/>
    <row r="27"/>
  </sheetData>
  <mergeCells count="1">
    <mergeCell ref="A25:I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Assumptions</t>
        </is>
      </c>
    </row>
    <row r="2">
      <c r="A2" s="2" t="inlineStr">
        <is>
          <t>Blue cells are inputs — change them to flex the model. Currency in € thousands (€000).</t>
        </is>
      </c>
    </row>
    <row r="4">
      <c r="A4" s="5" t="inlineStr">
        <is>
          <t>A. Serviceable market by segment</t>
        </is>
      </c>
      <c r="B4" s="6" t="n"/>
      <c r="C4" s="6" t="n"/>
      <c r="D4" s="6" t="n"/>
      <c r="E4" s="6" t="n"/>
      <c r="F4" s="6" t="n"/>
    </row>
    <row r="5" ht="30" customHeight="1">
      <c r="A5" s="12" t="inlineStr">
        <is>
          <t>Segment</t>
        </is>
      </c>
      <c r="B5" s="12" t="inlineStr">
        <is>
          <t>EU institution
universe (#)</t>
        </is>
      </c>
      <c r="C5" s="12" t="inlineStr">
        <is>
          <t>Serviceable
share (%)</t>
        </is>
      </c>
      <c r="D5" s="12" t="inlineStr">
        <is>
          <t>Serviceable
logos (#)</t>
        </is>
      </c>
      <c r="E5" s="12" t="inlineStr">
        <is>
          <t>Mature ACV
(€000)</t>
        </is>
      </c>
      <c r="F5" s="12" t="inlineStr">
        <is>
          <t>Segment SAM
(€000)</t>
        </is>
      </c>
    </row>
    <row r="6">
      <c r="A6" s="13" t="inlineStr">
        <is>
          <t>Tier-1 banks (G-SIB / ECB significant)</t>
        </is>
      </c>
      <c r="B6" s="20" t="n">
        <v>120</v>
      </c>
      <c r="C6" s="21" t="n">
        <v>0.7</v>
      </c>
      <c r="D6" s="22">
        <f>B6*C6</f>
        <v/>
      </c>
      <c r="E6" s="23" t="n">
        <v>1200</v>
      </c>
      <c r="F6" s="24">
        <f>D6*E6</f>
        <v/>
      </c>
    </row>
    <row r="7">
      <c r="A7" s="25" t="inlineStr">
        <is>
          <t>Tier-2 banks (mid-size / regional)</t>
        </is>
      </c>
      <c r="B7" s="26" t="n">
        <v>400</v>
      </c>
      <c r="C7" s="27" t="n">
        <v>0.4</v>
      </c>
      <c r="D7" s="28">
        <f>B7*C7</f>
        <v/>
      </c>
      <c r="E7" s="29" t="n">
        <v>400</v>
      </c>
      <c r="F7" s="30">
        <f>D7*E7</f>
        <v/>
      </c>
    </row>
    <row r="8">
      <c r="A8" s="13" t="inlineStr">
        <is>
          <t>Large insurers</t>
        </is>
      </c>
      <c r="B8" s="20" t="n">
        <v>150</v>
      </c>
      <c r="C8" s="21" t="n">
        <v>0.5</v>
      </c>
      <c r="D8" s="22">
        <f>B8*C8</f>
        <v/>
      </c>
      <c r="E8" s="23" t="n">
        <v>500</v>
      </c>
      <c r="F8" s="24">
        <f>D8*E8</f>
        <v/>
      </c>
    </row>
    <row r="9">
      <c r="A9" s="25" t="inlineStr">
        <is>
          <t>Asset mgmt / payments / market infra</t>
        </is>
      </c>
      <c r="B9" s="26" t="n">
        <v>250</v>
      </c>
      <c r="C9" s="27" t="n">
        <v>0.35</v>
      </c>
      <c r="D9" s="28">
        <f>B9*C9</f>
        <v/>
      </c>
      <c r="E9" s="29" t="n">
        <v>350</v>
      </c>
      <c r="F9" s="30">
        <f>D9*E9</f>
        <v/>
      </c>
    </row>
    <row r="10">
      <c r="A10" s="31" t="inlineStr">
        <is>
          <t>Subtotal — Financial services (beachhead)</t>
        </is>
      </c>
      <c r="B10" s="32" t="n"/>
      <c r="C10" s="32" t="n"/>
      <c r="D10" s="33">
        <f>SUM(D6:D9)</f>
        <v/>
      </c>
      <c r="E10" s="32" t="n"/>
      <c r="F10" s="34">
        <f>SUM(F6:F9)</f>
        <v/>
      </c>
    </row>
    <row r="11">
      <c r="A11" s="13" t="inlineStr">
        <is>
          <t>Defence &amp; public sector</t>
        </is>
      </c>
      <c r="B11" s="20" t="n">
        <v>300</v>
      </c>
      <c r="C11" s="21" t="n">
        <v>0.4</v>
      </c>
      <c r="D11" s="22">
        <f>B11*C11</f>
        <v/>
      </c>
      <c r="E11" s="23" t="n">
        <v>650</v>
      </c>
      <c r="F11" s="24">
        <f>D11*E11</f>
        <v/>
      </c>
    </row>
    <row r="12">
      <c r="A12" s="25" t="inlineStr">
        <is>
          <t>Healthcare (large systems / pharma)</t>
        </is>
      </c>
      <c r="B12" s="26" t="n">
        <v>250</v>
      </c>
      <c r="C12" s="27" t="n">
        <v>0.3</v>
      </c>
      <c r="D12" s="28">
        <f>B12*C12</f>
        <v/>
      </c>
      <c r="E12" s="29" t="n">
        <v>450</v>
      </c>
      <c r="F12" s="30">
        <f>D12*E12</f>
        <v/>
      </c>
    </row>
    <row r="13">
      <c r="A13" s="13" t="inlineStr">
        <is>
          <t>Telecom</t>
        </is>
      </c>
      <c r="B13" s="20" t="n">
        <v>80</v>
      </c>
      <c r="C13" s="21" t="n">
        <v>0.5</v>
      </c>
      <c r="D13" s="22">
        <f>B13*C13</f>
        <v/>
      </c>
      <c r="E13" s="23" t="n">
        <v>550</v>
      </c>
      <c r="F13" s="24">
        <f>D13*E13</f>
        <v/>
      </c>
    </row>
    <row r="14">
      <c r="A14" s="31" t="inlineStr">
        <is>
          <t>Subtotal — Expansion verticals</t>
        </is>
      </c>
      <c r="B14" s="32" t="n"/>
      <c r="C14" s="32" t="n"/>
      <c r="D14" s="33">
        <f>SUM(D11:D13)</f>
        <v/>
      </c>
      <c r="E14" s="32" t="n"/>
      <c r="F14" s="34">
        <f>SUM(F11:F13)</f>
        <v/>
      </c>
    </row>
    <row r="15">
      <c r="A15" s="35" t="inlineStr">
        <is>
          <t>TOTAL serviceable market (SAM)</t>
        </is>
      </c>
      <c r="B15" s="36" t="n"/>
      <c r="C15" s="36" t="n"/>
      <c r="D15" s="37">
        <f>D10+D14</f>
        <v/>
      </c>
      <c r="E15" s="36" t="n"/>
      <c r="F15" s="38">
        <f>F10+F14</f>
        <v/>
      </c>
    </row>
    <row r="17">
      <c r="A17" s="5" t="inlineStr">
        <is>
          <t>B. Global drivers</t>
        </is>
      </c>
      <c r="B17" s="6" t="n"/>
      <c r="C17" s="6" t="n"/>
      <c r="D17" s="6" t="n"/>
      <c r="E17" s="6" t="n"/>
      <c r="F17" s="6" t="n"/>
    </row>
    <row r="18">
      <c r="A18" s="7" t="inlineStr">
        <is>
          <t>ACV expansion / escalation (per year)</t>
        </is>
      </c>
      <c r="B18" s="39" t="n">
        <v>0.08</v>
      </c>
    </row>
    <row r="19">
      <c r="A19" s="7" t="inlineStr">
        <is>
          <t>Services attach (% of platform ARR)</t>
        </is>
      </c>
      <c r="B19" s="39" t="n">
        <v>0.2</v>
      </c>
    </row>
    <row r="21">
      <c r="A21" s="5" t="inlineStr">
        <is>
          <t>C. Adoption — cumulative active customers (logos) by year</t>
        </is>
      </c>
      <c r="B21" s="6" t="n"/>
      <c r="C21" s="6" t="n"/>
      <c r="D21" s="6" t="n"/>
      <c r="E21" s="6" t="n"/>
      <c r="F21" s="6" t="n"/>
    </row>
    <row r="22" ht="18" customHeight="1">
      <c r="A22" s="12" t="inlineStr">
        <is>
          <t>Segment</t>
        </is>
      </c>
      <c r="B22" s="12" t="inlineStr">
        <is>
          <t>Year 1</t>
        </is>
      </c>
      <c r="C22" s="12" t="inlineStr">
        <is>
          <t>Year 2</t>
        </is>
      </c>
      <c r="D22" s="12" t="inlineStr">
        <is>
          <t>Year 3</t>
        </is>
      </c>
      <c r="E22" s="12" t="inlineStr">
        <is>
          <t>Year 4</t>
        </is>
      </c>
      <c r="F22" s="12" t="inlineStr">
        <is>
          <t>Year 5</t>
        </is>
      </c>
    </row>
    <row r="23">
      <c r="A23" s="13" t="inlineStr">
        <is>
          <t>Tier-1 banks</t>
        </is>
      </c>
      <c r="B23" s="20" t="n">
        <v>1</v>
      </c>
      <c r="C23" s="20" t="n">
        <v>2</v>
      </c>
      <c r="D23" s="20" t="n">
        <v>4</v>
      </c>
      <c r="E23" s="20" t="n">
        <v>8</v>
      </c>
      <c r="F23" s="20" t="n">
        <v>14</v>
      </c>
    </row>
    <row r="24">
      <c r="A24" s="25" t="inlineStr">
        <is>
          <t>Tier-2 banks</t>
        </is>
      </c>
      <c r="B24" s="26" t="n">
        <v>0</v>
      </c>
      <c r="C24" s="26" t="n">
        <v>1</v>
      </c>
      <c r="D24" s="26" t="n">
        <v>4</v>
      </c>
      <c r="E24" s="26" t="n">
        <v>10</v>
      </c>
      <c r="F24" s="26" t="n">
        <v>22</v>
      </c>
    </row>
    <row r="25">
      <c r="A25" s="13" t="inlineStr">
        <is>
          <t>Large insurers</t>
        </is>
      </c>
      <c r="B25" s="20" t="n">
        <v>0</v>
      </c>
      <c r="C25" s="20" t="n">
        <v>1</v>
      </c>
      <c r="D25" s="20" t="n">
        <v>3</v>
      </c>
      <c r="E25" s="20" t="n">
        <v>6</v>
      </c>
      <c r="F25" s="20" t="n">
        <v>12</v>
      </c>
    </row>
    <row r="26">
      <c r="A26" s="25" t="inlineStr">
        <is>
          <t>Asset mgmt / payments / market infra</t>
        </is>
      </c>
      <c r="B26" s="26" t="n">
        <v>0</v>
      </c>
      <c r="C26" s="26" t="n">
        <v>0</v>
      </c>
      <c r="D26" s="26" t="n">
        <v>1</v>
      </c>
      <c r="E26" s="26" t="n">
        <v>3</v>
      </c>
      <c r="F26" s="26" t="n">
        <v>7</v>
      </c>
    </row>
    <row r="27">
      <c r="A27" s="13" t="inlineStr">
        <is>
          <t>Defence &amp; public sector</t>
        </is>
      </c>
      <c r="B27" s="20" t="n">
        <v>0</v>
      </c>
      <c r="C27" s="20" t="n">
        <v>0</v>
      </c>
      <c r="D27" s="20" t="n">
        <v>0</v>
      </c>
      <c r="E27" s="20" t="n">
        <v>1</v>
      </c>
      <c r="F27" s="20" t="n">
        <v>4</v>
      </c>
    </row>
    <row r="28">
      <c r="A28" s="25" t="inlineStr">
        <is>
          <t>Healthcare</t>
        </is>
      </c>
      <c r="B28" s="26" t="n">
        <v>0</v>
      </c>
      <c r="C28" s="26" t="n">
        <v>0</v>
      </c>
      <c r="D28" s="26" t="n">
        <v>0</v>
      </c>
      <c r="E28" s="26" t="n">
        <v>1</v>
      </c>
      <c r="F28" s="26" t="n">
        <v>3</v>
      </c>
    </row>
    <row r="29">
      <c r="A29" s="13" t="inlineStr">
        <is>
          <t>Telecom</t>
        </is>
      </c>
      <c r="B29" s="20" t="n">
        <v>0</v>
      </c>
      <c r="C29" s="20" t="n">
        <v>0</v>
      </c>
      <c r="D29" s="20" t="n">
        <v>0</v>
      </c>
      <c r="E29" s="20" t="n">
        <v>0</v>
      </c>
      <c r="F29" s="20" t="n">
        <v>2</v>
      </c>
    </row>
    <row r="30">
      <c r="A30" s="31" t="inlineStr">
        <is>
          <t>Total cumulative customers</t>
        </is>
      </c>
      <c r="B30" s="33">
        <f>SUM(B23:B29)</f>
        <v/>
      </c>
      <c r="C30" s="33">
        <f>SUM(C23:C29)</f>
        <v/>
      </c>
      <c r="D30" s="33">
        <f>SUM(D23:D29)</f>
        <v/>
      </c>
      <c r="E30" s="33">
        <f>SUM(E23:E29)</f>
        <v/>
      </c>
      <c r="F30" s="33">
        <f>SUM(F23:F29)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cols>
    <col width="48" customWidth="1" min="1" max="1"/>
    <col width="14" customWidth="1" min="2" max="2"/>
    <col width="50" customWidth="1" min="3" max="3"/>
  </cols>
  <sheetData>
    <row r="1">
      <c r="A1" s="1" t="inlineStr">
        <is>
          <t>Market Sizing — ABOM TAM / SAM / SOM</t>
        </is>
      </c>
    </row>
    <row r="2">
      <c r="A2" s="2" t="inlineStr">
        <is>
          <t>Top-down TAM funnel triangulated against bottom-up SAM. Figures in € millions (€M).</t>
        </is>
      </c>
    </row>
    <row r="4">
      <c r="A4" s="5" t="inlineStr">
        <is>
          <t>Top-down TAM funnel (€M)</t>
        </is>
      </c>
      <c r="B4" s="6" t="n"/>
      <c r="C4" s="6" t="n"/>
    </row>
    <row r="5">
      <c r="A5" s="7" t="inlineStr">
        <is>
          <t>Global agentic-AI market, 2030E (directional midpoint)</t>
        </is>
      </c>
      <c r="B5" s="40" t="n">
        <v>46000</v>
      </c>
      <c r="C5" s="11" t="inlineStr">
        <is>
          <t>~$50B; analyst range $24.5B (GVR) – $139B (Fortune). Directional.</t>
        </is>
      </c>
    </row>
    <row r="6">
      <c r="A6" s="7" t="inlineStr">
        <is>
          <t>× Agent-accountability / governance tooling-layer share</t>
        </is>
      </c>
      <c r="B6" s="39" t="n">
        <v>0.15</v>
      </c>
      <c r="C6" s="11" t="inlineStr">
        <is>
          <t>Accountability/governance tooling layer as share of total agentic spend (assumption).</t>
        </is>
      </c>
    </row>
    <row r="7">
      <c r="A7" s="7">
        <f> Global agent-accountability TAM</f>
        <v/>
      </c>
      <c r="B7" s="41">
        <f>B5*B6</f>
        <v/>
      </c>
    </row>
    <row r="8">
      <c r="A8" s="7" t="inlineStr">
        <is>
          <t>× Europe share</t>
        </is>
      </c>
      <c r="B8" s="39" t="n">
        <v>0.22</v>
      </c>
      <c r="C8" s="11" t="inlineStr">
        <is>
          <t>EU share of global enterprise AI spend (assumption).</t>
        </is>
      </c>
    </row>
    <row r="9">
      <c r="A9" s="7">
        <f> European agent-accountability TAM</f>
        <v/>
      </c>
      <c r="B9" s="41">
        <f>B7*B8</f>
        <v/>
      </c>
    </row>
    <row r="10">
      <c r="A10" s="7" t="inlineStr">
        <is>
          <t>× EU regulated / mandate-driven share</t>
        </is>
      </c>
      <c r="B10" s="39" t="n">
        <v>0.45</v>
      </c>
      <c r="C10" s="11" t="inlineStr">
        <is>
          <t>Share of EU accountability layer in regulated, mandate-exposed segments (assumption).</t>
        </is>
      </c>
    </row>
    <row r="11">
      <c r="A11" s="42">
        <f> EU regulated agent-accountability TAM (top-down)</f>
        <v/>
      </c>
      <c r="B11" s="43">
        <f>B9*B10</f>
        <v/>
      </c>
    </row>
    <row r="13">
      <c r="A13" s="5" t="inlineStr">
        <is>
          <t>Bottom-up cross-check (€M)</t>
        </is>
      </c>
      <c r="B13" s="6" t="n"/>
      <c r="C13" s="6" t="n"/>
    </row>
    <row r="14">
      <c r="A14" s="7" t="inlineStr">
        <is>
          <t>SAM — bottom-up (serviceable, annual)</t>
        </is>
      </c>
      <c r="B14" s="8">
        <f>Assumptions!F15/1000</f>
        <v/>
      </c>
      <c r="C14" s="11" t="inlineStr">
        <is>
          <t>From Assumptions §A (serviceable logos × mature ACV).</t>
        </is>
      </c>
    </row>
    <row r="15">
      <c r="A15" s="7" t="inlineStr">
        <is>
          <t>SOM — Year-5 achievable ARR (base case)</t>
        </is>
      </c>
      <c r="B15" s="8">
        <f>'Revenue Build'!G12/1000</f>
        <v/>
      </c>
      <c r="C15" s="11" t="inlineStr">
        <is>
          <t>From Revenue Build (Year-5 ABOM platform ARR).</t>
        </is>
      </c>
    </row>
    <row r="16">
      <c r="A16" s="7" t="inlineStr">
        <is>
          <t>SOM as % of SAM</t>
        </is>
      </c>
      <c r="B16" s="44">
        <f>B15/B14</f>
        <v/>
      </c>
    </row>
    <row r="17">
      <c r="A17" s="7" t="inlineStr">
        <is>
          <t>SAM as % of EU regulated TAM (top-down)</t>
        </is>
      </c>
      <c r="B17" s="44">
        <f>B14/B11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Revenue Build — ABOM 5-Year Bottom-Up</t>
        </is>
      </c>
    </row>
    <row r="2">
      <c r="A2" s="2" t="inlineStr">
        <is>
          <t>ABOM platform ARR (€000) = cumulative customers × mature ACV × (1+expansion)^(year-1); ACV = abom-verify + Notary subscription per logo. All drivers live on the Assumptions sheet.</t>
        </is>
      </c>
    </row>
    <row r="4" ht="18" customHeight="1">
      <c r="A4" s="12" t="inlineStr">
        <is>
          <t>ABOM platform ARR by segment (€000)</t>
        </is>
      </c>
      <c r="B4" s="12" t="inlineStr">
        <is>
          <t>Year 1</t>
        </is>
      </c>
      <c r="C4" s="12" t="inlineStr">
        <is>
          <t>Year 2</t>
        </is>
      </c>
      <c r="D4" s="12" t="inlineStr">
        <is>
          <t>Year 3</t>
        </is>
      </c>
      <c r="E4" s="12" t="inlineStr">
        <is>
          <t>Year 4</t>
        </is>
      </c>
      <c r="F4" s="12" t="inlineStr">
        <is>
          <t>Year 5</t>
        </is>
      </c>
    </row>
    <row r="5">
      <c r="A5" s="13" t="inlineStr">
        <is>
          <t>Tier-1 banks</t>
        </is>
      </c>
      <c r="B5" s="24">
        <f>Assumptions!B23*Assumptions!$E$6*(1+Assumptions!$B$18)^0</f>
        <v/>
      </c>
      <c r="C5" s="24">
        <f>Assumptions!C23*Assumptions!$E$6*(1+Assumptions!$B$18)^1</f>
        <v/>
      </c>
      <c r="D5" s="24">
        <f>Assumptions!D23*Assumptions!$E$6*(1+Assumptions!$B$18)^2</f>
        <v/>
      </c>
      <c r="E5" s="24">
        <f>Assumptions!E23*Assumptions!$E$6*(1+Assumptions!$B$18)^3</f>
        <v/>
      </c>
      <c r="F5" s="24">
        <f>Assumptions!F23*Assumptions!$E$6*(1+Assumptions!$B$18)^4</f>
        <v/>
      </c>
    </row>
    <row r="6">
      <c r="A6" s="25" t="inlineStr">
        <is>
          <t>Tier-2 banks</t>
        </is>
      </c>
      <c r="B6" s="30">
        <f>Assumptions!B24*Assumptions!$E$7*(1+Assumptions!$B$18)^0</f>
        <v/>
      </c>
      <c r="C6" s="30">
        <f>Assumptions!C24*Assumptions!$E$7*(1+Assumptions!$B$18)^1</f>
        <v/>
      </c>
      <c r="D6" s="30">
        <f>Assumptions!D24*Assumptions!$E$7*(1+Assumptions!$B$18)^2</f>
        <v/>
      </c>
      <c r="E6" s="30">
        <f>Assumptions!E24*Assumptions!$E$7*(1+Assumptions!$B$18)^3</f>
        <v/>
      </c>
      <c r="F6" s="30">
        <f>Assumptions!F24*Assumptions!$E$7*(1+Assumptions!$B$18)^4</f>
        <v/>
      </c>
    </row>
    <row r="7">
      <c r="A7" s="13" t="inlineStr">
        <is>
          <t>Large insurers</t>
        </is>
      </c>
      <c r="B7" s="24">
        <f>Assumptions!B25*Assumptions!$E$8*(1+Assumptions!$B$18)^0</f>
        <v/>
      </c>
      <c r="C7" s="24">
        <f>Assumptions!C25*Assumptions!$E$8*(1+Assumptions!$B$18)^1</f>
        <v/>
      </c>
      <c r="D7" s="24">
        <f>Assumptions!D25*Assumptions!$E$8*(1+Assumptions!$B$18)^2</f>
        <v/>
      </c>
      <c r="E7" s="24">
        <f>Assumptions!E25*Assumptions!$E$8*(1+Assumptions!$B$18)^3</f>
        <v/>
      </c>
      <c r="F7" s="24">
        <f>Assumptions!F25*Assumptions!$E$8*(1+Assumptions!$B$18)^4</f>
        <v/>
      </c>
    </row>
    <row r="8">
      <c r="A8" s="25" t="inlineStr">
        <is>
          <t>Asset mgmt / payments / market infra</t>
        </is>
      </c>
      <c r="B8" s="30">
        <f>Assumptions!B26*Assumptions!$E$9*(1+Assumptions!$B$18)^0</f>
        <v/>
      </c>
      <c r="C8" s="30">
        <f>Assumptions!C26*Assumptions!$E$9*(1+Assumptions!$B$18)^1</f>
        <v/>
      </c>
      <c r="D8" s="30">
        <f>Assumptions!D26*Assumptions!$E$9*(1+Assumptions!$B$18)^2</f>
        <v/>
      </c>
      <c r="E8" s="30">
        <f>Assumptions!E26*Assumptions!$E$9*(1+Assumptions!$B$18)^3</f>
        <v/>
      </c>
      <c r="F8" s="30">
        <f>Assumptions!F26*Assumptions!$E$9*(1+Assumptions!$B$18)^4</f>
        <v/>
      </c>
    </row>
    <row r="9">
      <c r="A9" s="13" t="inlineStr">
        <is>
          <t>Defence &amp; public sector</t>
        </is>
      </c>
      <c r="B9" s="24">
        <f>Assumptions!B27*Assumptions!$E$11*(1+Assumptions!$B$18)^0</f>
        <v/>
      </c>
      <c r="C9" s="24">
        <f>Assumptions!C27*Assumptions!$E$11*(1+Assumptions!$B$18)^1</f>
        <v/>
      </c>
      <c r="D9" s="24">
        <f>Assumptions!D27*Assumptions!$E$11*(1+Assumptions!$B$18)^2</f>
        <v/>
      </c>
      <c r="E9" s="24">
        <f>Assumptions!E27*Assumptions!$E$11*(1+Assumptions!$B$18)^3</f>
        <v/>
      </c>
      <c r="F9" s="24">
        <f>Assumptions!F27*Assumptions!$E$11*(1+Assumptions!$B$18)^4</f>
        <v/>
      </c>
    </row>
    <row r="10">
      <c r="A10" s="25" t="inlineStr">
        <is>
          <t>Healthcare</t>
        </is>
      </c>
      <c r="B10" s="30">
        <f>Assumptions!B28*Assumptions!$E$12*(1+Assumptions!$B$18)^0</f>
        <v/>
      </c>
      <c r="C10" s="30">
        <f>Assumptions!C28*Assumptions!$E$12*(1+Assumptions!$B$18)^1</f>
        <v/>
      </c>
      <c r="D10" s="30">
        <f>Assumptions!D28*Assumptions!$E$12*(1+Assumptions!$B$18)^2</f>
        <v/>
      </c>
      <c r="E10" s="30">
        <f>Assumptions!E28*Assumptions!$E$12*(1+Assumptions!$B$18)^3</f>
        <v/>
      </c>
      <c r="F10" s="30">
        <f>Assumptions!F28*Assumptions!$E$12*(1+Assumptions!$B$18)^4</f>
        <v/>
      </c>
    </row>
    <row r="11">
      <c r="A11" s="13" t="inlineStr">
        <is>
          <t>Telecom</t>
        </is>
      </c>
      <c r="B11" s="24">
        <f>Assumptions!B29*Assumptions!$E$13*(1+Assumptions!$B$18)^0</f>
        <v/>
      </c>
      <c r="C11" s="24">
        <f>Assumptions!C29*Assumptions!$E$13*(1+Assumptions!$B$18)^1</f>
        <v/>
      </c>
      <c r="D11" s="24">
        <f>Assumptions!D29*Assumptions!$E$13*(1+Assumptions!$B$18)^2</f>
        <v/>
      </c>
      <c r="E11" s="24">
        <f>Assumptions!E29*Assumptions!$E$13*(1+Assumptions!$B$18)^3</f>
        <v/>
      </c>
      <c r="F11" s="24">
        <f>Assumptions!F29*Assumptions!$E$13*(1+Assumptions!$B$18)^4</f>
        <v/>
      </c>
    </row>
    <row r="12">
      <c r="A12" s="31" t="inlineStr">
        <is>
          <t>Total ABOM platform ARR</t>
        </is>
      </c>
      <c r="B12" s="34">
        <f>SUM(B5:B11)</f>
        <v/>
      </c>
      <c r="C12" s="34">
        <f>SUM(C5:C11)</f>
        <v/>
      </c>
      <c r="D12" s="34">
        <f>SUM(D5:D11)</f>
        <v/>
      </c>
      <c r="E12" s="34">
        <f>SUM(E5:E11)</f>
        <v/>
      </c>
      <c r="F12" s="34">
        <f>SUM(F5:F11)</f>
        <v/>
      </c>
    </row>
    <row r="13">
      <c r="A13" s="13" t="inlineStr">
        <is>
          <t>Services revenue</t>
        </is>
      </c>
      <c r="B13" s="24">
        <f>B12*Assumptions!$B$19</f>
        <v/>
      </c>
      <c r="C13" s="24">
        <f>C12*Assumptions!$B$19</f>
        <v/>
      </c>
      <c r="D13" s="24">
        <f>D12*Assumptions!$B$19</f>
        <v/>
      </c>
      <c r="E13" s="24">
        <f>E12*Assumptions!$B$19</f>
        <v/>
      </c>
      <c r="F13" s="24">
        <f>F12*Assumptions!$B$19</f>
        <v/>
      </c>
    </row>
    <row r="14">
      <c r="A14" s="45" t="inlineStr">
        <is>
          <t>Total revenue</t>
        </is>
      </c>
      <c r="B14" s="46">
        <f>B12+B13</f>
        <v/>
      </c>
      <c r="C14" s="46">
        <f>C12+C13</f>
        <v/>
      </c>
      <c r="D14" s="46">
        <f>D12+D13</f>
        <v/>
      </c>
      <c r="E14" s="46">
        <f>E12+E13</f>
        <v/>
      </c>
      <c r="F14" s="46">
        <f>F12+F13</f>
        <v/>
      </c>
    </row>
    <row r="16">
      <c r="A16" s="7" t="inlineStr">
        <is>
          <t>Cumulative customers (logos)</t>
        </is>
      </c>
      <c r="B16" s="9">
        <f>Assumptions!B30</f>
        <v/>
      </c>
      <c r="C16" s="9">
        <f>Assumptions!C30</f>
        <v/>
      </c>
      <c r="D16" s="9">
        <f>Assumptions!D30</f>
        <v/>
      </c>
      <c r="E16" s="9">
        <f>Assumptions!E30</f>
        <v/>
      </c>
      <c r="F16" s="9">
        <f>Assumptions!F30</f>
        <v/>
      </c>
    </row>
    <row r="17">
      <c r="A17" s="7" t="inlineStr">
        <is>
          <t>Logo penetration of serviceable market</t>
        </is>
      </c>
      <c r="B17" s="44">
        <f>B16/Assumptions!$D$15</f>
        <v/>
      </c>
      <c r="C17" s="44">
        <f>C16/Assumptions!$D$15</f>
        <v/>
      </c>
      <c r="D17" s="44">
        <f>D16/Assumptions!$D$15</f>
        <v/>
      </c>
      <c r="E17" s="44">
        <f>E16/Assumptions!$D$15</f>
        <v/>
      </c>
      <c r="F17" s="44">
        <f>F16/Assumptions!$D$15</f>
        <v/>
      </c>
    </row>
    <row r="19">
      <c r="A19" s="11" t="inlineStr">
        <is>
          <t>Memo: Total ABOM platform ARR (€M)</t>
        </is>
      </c>
      <c r="B19" s="47">
        <f>B12/1000</f>
        <v/>
      </c>
      <c r="C19" s="47">
        <f>C12/1000</f>
        <v/>
      </c>
      <c r="D19" s="47">
        <f>D12/1000</f>
        <v/>
      </c>
      <c r="E19" s="47">
        <f>E12/1000</f>
        <v/>
      </c>
      <c r="F19" s="47">
        <f>F12/1000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2026-06-18T22:21:49Z</dcterms:created>
  <dcterms:modified xmlns:dcterms="http://purl.org/dc/terms/" xmlns:xsi="http://www.w3.org/2001/XMLSchema-instance" xsi:type="dcterms:W3CDTF">2026-06-18T22:21:49Z</dcterms:modified>
</cp:coreProperties>
</file>